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o\Desktop\"/>
    </mc:Choice>
  </mc:AlternateContent>
  <xr:revisionPtr revIDLastSave="0" documentId="13_ncr:1_{BEFDB894-8301-488D-94AA-F6CC8B08D6B7}" xr6:coauthVersionLast="47" xr6:coauthVersionMax="47" xr10:uidLastSave="{00000000-0000-0000-0000-000000000000}"/>
  <bookViews>
    <workbookView xWindow="-38520" yWindow="-120" windowWidth="38640" windowHeight="15720" xr2:uid="{534B1523-456C-44D3-BD67-79DA3BAD9218}"/>
  </bookViews>
  <sheets>
    <sheet name="Planilha1" sheetId="1" r:id="rId1"/>
  </sheets>
  <definedNames>
    <definedName name="Aporte_Anual">Planilha1!#REF!</definedName>
    <definedName name="Aportes">Planilha1!$D$12</definedName>
    <definedName name="Periodicidade">Planilha1!#REF!</definedName>
    <definedName name="Renda_Projetada">Planilha1!#REF!</definedName>
    <definedName name="Rendimentos">Planilha1!$D$8</definedName>
    <definedName name="Taxa_Juros">Planilha1!$D$13</definedName>
    <definedName name="Taxa_Mensal">Planilha1!#REF!</definedName>
    <definedName name="Tempo">Planilha1!$D$14</definedName>
    <definedName name="Tempo_Equivalente">Planilha1!#REF!</definedName>
    <definedName name="Total_Juros">Planilha1!$D$19</definedName>
    <definedName name="Valor_Inicial">Planilha1!$D$11</definedName>
    <definedName name="valor_Investido">Planilha1!$D$18</definedName>
    <definedName name="Valor_Total_Final">Planilha1!$D$17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I5" i="1" a="1"/>
  <c r="I5" i="1" s="1"/>
  <c r="D18" i="1"/>
  <c r="G6" i="1"/>
  <c r="D13" i="1" s="1"/>
  <c r="D17" i="1" s="1"/>
  <c r="G14" i="1"/>
  <c r="G12" i="1"/>
  <c r="G8" i="1"/>
  <c r="D6" i="1"/>
  <c r="E24" i="1" l="1"/>
  <c r="E25" i="1"/>
  <c r="D24" i="1"/>
  <c r="F24" i="1" s="1"/>
  <c r="D28" i="1"/>
  <c r="F28" i="1" s="1"/>
  <c r="E28" i="1"/>
  <c r="D27" i="1"/>
  <c r="F27" i="1" s="1"/>
  <c r="E23" i="1"/>
  <c r="E26" i="1"/>
  <c r="D25" i="1"/>
  <c r="F25" i="1" s="1"/>
  <c r="D23" i="1"/>
  <c r="F23" i="1" s="1"/>
  <c r="E27" i="1"/>
  <c r="D26" i="1"/>
  <c r="F26" i="1" s="1"/>
  <c r="D7" i="1"/>
  <c r="L5" i="1"/>
  <c r="K5" i="1"/>
  <c r="K6" i="1" s="1"/>
  <c r="K9" i="1" s="1"/>
  <c r="K10" i="1" s="1"/>
  <c r="K11" i="1" s="1"/>
  <c r="K12" i="1" s="1"/>
  <c r="K13" i="1" s="1"/>
  <c r="K14" i="1" s="1"/>
  <c r="K16" i="1" s="1"/>
  <c r="K17" i="1" s="1"/>
  <c r="M5" i="1" l="1"/>
  <c r="J6" i="1" s="1"/>
  <c r="L6" i="1" s="1"/>
  <c r="M6" i="1" s="1"/>
  <c r="J9" i="1" s="1"/>
  <c r="D19" i="1"/>
  <c r="F17" i="1" s="1"/>
  <c r="L9" i="1" l="1"/>
  <c r="M9" i="1" s="1"/>
  <c r="J10" i="1" s="1"/>
  <c r="L10" i="1" l="1"/>
  <c r="M10" i="1" s="1"/>
  <c r="J11" i="1" l="1"/>
  <c r="L11" i="1" s="1"/>
  <c r="M11" i="1" s="1"/>
  <c r="J12" i="1" s="1"/>
  <c r="L12" i="1" l="1"/>
  <c r="M12" i="1" s="1"/>
  <c r="J13" i="1" s="1"/>
  <c r="L13" i="1" l="1"/>
  <c r="M13" i="1" s="1"/>
  <c r="J14" i="1" l="1"/>
  <c r="L14" i="1" l="1"/>
  <c r="M14" i="1" s="1"/>
  <c r="J16" i="1" s="1"/>
  <c r="L16" i="1" l="1"/>
  <c r="M16" i="1" s="1"/>
  <c r="J17" i="1" s="1"/>
  <c r="L17" i="1" l="1"/>
  <c r="M1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<sst xmlns="http://schemas.openxmlformats.org/spreadsheetml/2006/main" count="40" uniqueCount="36">
  <si>
    <t>Valor Inicial</t>
  </si>
  <si>
    <t>Período</t>
  </si>
  <si>
    <t>Valor Total Investido</t>
  </si>
  <si>
    <t>Total em Juros</t>
  </si>
  <si>
    <t>Renda Mensal</t>
  </si>
  <si>
    <t>% Rendimentos Mensais</t>
  </si>
  <si>
    <t>Patrimônio Acumulado</t>
  </si>
  <si>
    <t>Juros</t>
  </si>
  <si>
    <t>Total Juros</t>
  </si>
  <si>
    <t>Patrimônio Total</t>
  </si>
  <si>
    <t>Total Investido</t>
  </si>
  <si>
    <t>Valor de Aporte Mensal</t>
  </si>
  <si>
    <t>% Mensal</t>
  </si>
  <si>
    <t>% Ano</t>
  </si>
  <si>
    <t>Conversão de Taxas</t>
  </si>
  <si>
    <t>Taxa Juros Mensal</t>
  </si>
  <si>
    <t>Período em Anos</t>
  </si>
  <si>
    <t>Conversão de Tempo</t>
  </si>
  <si>
    <t>Ano(s)</t>
  </si>
  <si>
    <t>Mês(es)</t>
  </si>
  <si>
    <t>Sugestão de Aportes (25%)</t>
  </si>
  <si>
    <t>INFORMAÇÕES INICIAIS</t>
  </si>
  <si>
    <t>INFORMAÇÕES DOS APORTES</t>
  </si>
  <si>
    <t>Renda Mês Projetada ao Final do Período</t>
  </si>
  <si>
    <t>PATRIMÔNIO PROJETADO</t>
  </si>
  <si>
    <t>% JUROS DO PERÍODO</t>
  </si>
  <si>
    <t>CENÁRIOS PROJETADOS</t>
  </si>
  <si>
    <t>PERÍODO</t>
  </si>
  <si>
    <t>PATRIMÔNIO</t>
  </si>
  <si>
    <t>RENDIMENTOS MENSAIS</t>
  </si>
  <si>
    <t>01 ANO</t>
  </si>
  <si>
    <t>02 ANOS</t>
  </si>
  <si>
    <t>05 ANOS</t>
  </si>
  <si>
    <t>10 ANOS</t>
  </si>
  <si>
    <t>20 ANOS</t>
  </si>
  <si>
    <t>30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</si>
</sst>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7" formatCode="0.0"/>
  </numFmts>
  <fonts count="6" x14ac:knownFonts="1">
    <font>
      <sz val="12"/>
      <color theme="1"/>
      <name val="Candara"/>
      <family val="2"/>
    </font>
    <font>
      <sz val="12"/>
      <color theme="1"/>
      <name val="Candara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4"/>
      <color theme="1"/>
      <name val="Segoe UI"/>
      <family val="2"/>
    </font>
    <font>
      <sz val="26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theme="1" tint="0.499984740745262"/>
      </left>
      <right style="thin">
        <color theme="0" tint="-0.14996795556505021"/>
      </right>
      <top style="medium">
        <color theme="1" tint="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1" tint="0.499984740745262"/>
      </right>
      <top style="medium">
        <color theme="1" tint="0.499984740745262"/>
      </top>
      <bottom style="thin">
        <color theme="0" tint="-0.14996795556505021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0" tint="-0.14996795556505021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thin">
        <color theme="0" tint="-0.14996795556505021"/>
      </bottom>
      <diagonal/>
    </border>
    <border>
      <left style="medium">
        <color theme="1" tint="0.499984740745262"/>
      </left>
      <right/>
      <top style="thin">
        <color theme="0" tint="-0.14996795556505021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0" tint="-0.14996795556505021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0" tint="-0.14996795556505021"/>
      </bottom>
      <diagonal/>
    </border>
    <border>
      <left style="medium">
        <color theme="1" tint="0.49998474074526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1" tint="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medium">
        <color theme="1" tint="0.49998474074526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theme="1" tint="0.499984740745262"/>
      </top>
      <bottom style="thin">
        <color theme="0" tint="-0.14996795556505021"/>
      </bottom>
      <diagonal/>
    </border>
    <border>
      <left style="medium">
        <color theme="1" tint="0.49998474074526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1" tint="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6" tint="0.79998168889431442"/>
      </left>
      <right/>
      <top style="medium">
        <color theme="6" tint="0.79998168889431442"/>
      </top>
      <bottom style="medium">
        <color theme="1" tint="0.499984740745262"/>
      </bottom>
      <diagonal/>
    </border>
    <border>
      <left/>
      <right/>
      <top style="medium">
        <color theme="6" tint="0.79998168889431442"/>
      </top>
      <bottom style="medium">
        <color theme="1" tint="0.499984740745262"/>
      </bottom>
      <diagonal/>
    </border>
    <border>
      <left/>
      <right style="medium">
        <color theme="6" tint="0.79998168889431442"/>
      </right>
      <top style="medium">
        <color theme="6" tint="0.7999816888943144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 style="thin">
        <color theme="0" tint="-0.14996795556505021"/>
      </top>
      <bottom/>
      <diagonal/>
    </border>
    <border>
      <left/>
      <right style="medium">
        <color theme="1" tint="0.499984740745262"/>
      </right>
      <top style="thin">
        <color theme="0" tint="-0.14996795556505021"/>
      </top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theme="1" tint="0.499984740745262"/>
      </right>
      <top style="thin">
        <color theme="0" tint="-0.14996795556505021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0" tint="-0.14996795556505021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0" tint="-0.14996795556505021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0" tint="-0.14996795556505021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0" tint="-0.14996795556505021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14996795556505021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0" tint="-0.14996795556505021"/>
      </top>
      <bottom style="medium">
        <color theme="1" tint="0.49998474074526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left"/>
    </xf>
    <xf numFmtId="10" fontId="2" fillId="0" borderId="4" xfId="2" applyNumberFormat="1" applyFont="1" applyBorder="1" applyAlignment="1">
      <alignment horizontal="center"/>
    </xf>
    <xf numFmtId="10" fontId="2" fillId="0" borderId="6" xfId="2" applyNumberFormat="1" applyFont="1" applyBorder="1" applyAlignment="1">
      <alignment horizontal="center"/>
    </xf>
    <xf numFmtId="0" fontId="2" fillId="0" borderId="3" xfId="0" applyFont="1" applyBorder="1" applyAlignment="1">
      <alignment horizontal="left" indent="2"/>
    </xf>
    <xf numFmtId="0" fontId="2" fillId="0" borderId="7" xfId="0" applyFont="1" applyBorder="1" applyAlignment="1">
      <alignment horizontal="left" indent="2"/>
    </xf>
    <xf numFmtId="164" fontId="2" fillId="0" borderId="4" xfId="0" applyNumberFormat="1" applyFont="1" applyBorder="1" applyAlignment="1">
      <alignment horizontal="left"/>
    </xf>
    <xf numFmtId="0" fontId="2" fillId="0" borderId="8" xfId="0" applyFont="1" applyBorder="1" applyAlignment="1">
      <alignment horizontal="left" indent="2"/>
    </xf>
    <xf numFmtId="0" fontId="2" fillId="0" borderId="9" xfId="0" applyFont="1" applyBorder="1" applyAlignment="1">
      <alignment horizontal="left" indent="2"/>
    </xf>
    <xf numFmtId="164" fontId="2" fillId="0" borderId="10" xfId="0" applyNumberFormat="1" applyFont="1" applyBorder="1" applyAlignment="1">
      <alignment horizontal="left"/>
    </xf>
    <xf numFmtId="0" fontId="2" fillId="0" borderId="5" xfId="0" applyFont="1" applyBorder="1" applyAlignment="1">
      <alignment horizontal="left" indent="2"/>
    </xf>
    <xf numFmtId="0" fontId="2" fillId="0" borderId="11" xfId="0" applyFont="1" applyBorder="1" applyAlignment="1">
      <alignment horizontal="left" indent="2"/>
    </xf>
    <xf numFmtId="10" fontId="2" fillId="0" borderId="6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indent="2"/>
    </xf>
    <xf numFmtId="0" fontId="2" fillId="0" borderId="12" xfId="0" applyFont="1" applyBorder="1" applyAlignment="1">
      <alignment horizontal="left" indent="2"/>
    </xf>
    <xf numFmtId="164" fontId="2" fillId="0" borderId="2" xfId="0" applyNumberFormat="1" applyFont="1" applyBorder="1" applyAlignment="1">
      <alignment horizontal="left"/>
    </xf>
    <xf numFmtId="0" fontId="2" fillId="0" borderId="13" xfId="0" applyFont="1" applyBorder="1" applyAlignment="1">
      <alignment horizontal="left" indent="2"/>
    </xf>
    <xf numFmtId="0" fontId="2" fillId="0" borderId="14" xfId="0" applyFont="1" applyBorder="1" applyAlignment="1">
      <alignment horizontal="left" indent="2"/>
    </xf>
    <xf numFmtId="164" fontId="2" fillId="0" borderId="15" xfId="0" applyNumberFormat="1" applyFont="1" applyBorder="1" applyAlignment="1">
      <alignment horizontal="left"/>
    </xf>
    <xf numFmtId="10" fontId="2" fillId="0" borderId="15" xfId="2" applyNumberFormat="1" applyFont="1" applyBorder="1" applyAlignment="1">
      <alignment horizontal="center"/>
    </xf>
    <xf numFmtId="0" fontId="2" fillId="0" borderId="3" xfId="0" applyFont="1" applyBorder="1" applyAlignment="1">
      <alignment horizontal="left" indent="2"/>
    </xf>
    <xf numFmtId="0" fontId="2" fillId="0" borderId="5" xfId="0" applyFont="1" applyBorder="1" applyAlignment="1">
      <alignment horizontal="left" indent="2"/>
    </xf>
    <xf numFmtId="167" fontId="2" fillId="0" borderId="6" xfId="2" applyNumberFormat="1" applyFont="1" applyBorder="1" applyAlignment="1">
      <alignment horizontal="center"/>
    </xf>
    <xf numFmtId="1" fontId="2" fillId="0" borderId="4" xfId="2" applyNumberFormat="1" applyFont="1" applyBorder="1" applyAlignment="1">
      <alignment horizontal="center"/>
    </xf>
    <xf numFmtId="1" fontId="2" fillId="0" borderId="6" xfId="2" applyNumberFormat="1" applyFont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2" fillId="0" borderId="0" xfId="0" applyFont="1" applyBorder="1" applyAlignment="1">
      <alignment horizontal="left" indent="2"/>
    </xf>
    <xf numFmtId="10" fontId="2" fillId="0" borderId="0" xfId="2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left" indent="2"/>
    </xf>
    <xf numFmtId="10" fontId="2" fillId="0" borderId="22" xfId="2" applyNumberFormat="1" applyFont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2" fillId="0" borderId="25" xfId="0" applyFont="1" applyBorder="1" applyAlignment="1">
      <alignment horizontal="left" indent="2"/>
    </xf>
    <xf numFmtId="164" fontId="2" fillId="0" borderId="10" xfId="2" applyNumberFormat="1" applyFont="1" applyBorder="1" applyAlignment="1">
      <alignment horizontal="left"/>
    </xf>
    <xf numFmtId="1" fontId="2" fillId="0" borderId="26" xfId="2" applyNumberFormat="1" applyFont="1" applyBorder="1" applyAlignment="1">
      <alignment horizontal="center" vertical="center"/>
    </xf>
    <xf numFmtId="164" fontId="2" fillId="0" borderId="15" xfId="2" applyNumberFormat="1" applyFont="1" applyBorder="1" applyAlignment="1">
      <alignment horizontal="left"/>
    </xf>
    <xf numFmtId="164" fontId="2" fillId="0" borderId="26" xfId="2" applyNumberFormat="1" applyFont="1" applyBorder="1" applyAlignment="1">
      <alignment horizontal="left" vertical="center"/>
    </xf>
    <xf numFmtId="10" fontId="5" fillId="0" borderId="27" xfId="2" applyNumberFormat="1" applyFont="1" applyBorder="1" applyAlignment="1">
      <alignment horizontal="center" vertical="center"/>
    </xf>
    <xf numFmtId="10" fontId="5" fillId="0" borderId="28" xfId="2" applyNumberFormat="1" applyFont="1" applyBorder="1" applyAlignment="1">
      <alignment horizontal="center" vertical="center"/>
    </xf>
    <xf numFmtId="10" fontId="5" fillId="0" borderId="19" xfId="2" applyNumberFormat="1" applyFont="1" applyBorder="1" applyAlignment="1">
      <alignment horizontal="center" vertical="center"/>
    </xf>
    <xf numFmtId="10" fontId="5" fillId="0" borderId="20" xfId="2" applyNumberFormat="1" applyFont="1" applyBorder="1" applyAlignment="1">
      <alignment horizontal="center" vertical="center"/>
    </xf>
    <xf numFmtId="10" fontId="5" fillId="0" borderId="23" xfId="2" applyNumberFormat="1" applyFont="1" applyBorder="1" applyAlignment="1">
      <alignment horizontal="center" vertical="center"/>
    </xf>
    <xf numFmtId="10" fontId="5" fillId="0" borderId="24" xfId="2" applyNumberFormat="1" applyFont="1" applyBorder="1" applyAlignment="1">
      <alignment horizontal="center" vertical="center"/>
    </xf>
    <xf numFmtId="0" fontId="4" fillId="2" borderId="16" xfId="0" applyFont="1" applyFill="1" applyBorder="1" applyAlignment="1"/>
    <xf numFmtId="0" fontId="4" fillId="2" borderId="17" xfId="0" applyFont="1" applyFill="1" applyBorder="1" applyAlignment="1"/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164" fontId="2" fillId="0" borderId="33" xfId="0" applyNumberFormat="1" applyFont="1" applyBorder="1" applyAlignment="1">
      <alignment horizontal="left" indent="5"/>
    </xf>
    <xf numFmtId="164" fontId="2" fillId="0" borderId="36" xfId="0" applyNumberFormat="1" applyFont="1" applyBorder="1" applyAlignment="1">
      <alignment horizontal="left" indent="5"/>
    </xf>
    <xf numFmtId="164" fontId="2" fillId="0" borderId="33" xfId="0" applyNumberFormat="1" applyFont="1" applyBorder="1" applyAlignment="1">
      <alignment horizontal="left" indent="11"/>
    </xf>
    <xf numFmtId="164" fontId="2" fillId="0" borderId="34" xfId="0" applyNumberFormat="1" applyFont="1" applyBorder="1" applyAlignment="1">
      <alignment horizontal="left" indent="11"/>
    </xf>
    <xf numFmtId="164" fontId="2" fillId="0" borderId="36" xfId="0" applyNumberFormat="1" applyFont="1" applyBorder="1" applyAlignment="1">
      <alignment horizontal="left" indent="11"/>
    </xf>
    <xf numFmtId="164" fontId="2" fillId="0" borderId="37" xfId="0" applyNumberFormat="1" applyFont="1" applyBorder="1" applyAlignment="1">
      <alignment horizontal="left" indent="1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E533-147F-4A66-ADF3-2521EACDD5F1}">
  <dimension ref="B1:M28"/>
  <sheetViews>
    <sheetView showGridLines="0" tabSelected="1" workbookViewId="0">
      <selection activeCell="K5" sqref="K5"/>
    </sheetView>
  </sheetViews>
  <sheetFormatPr defaultRowHeight="17.25" x14ac:dyDescent="0.3"/>
  <cols>
    <col min="1" max="1" width="5" style="1" customWidth="1"/>
    <col min="2" max="2" width="24.6640625" style="1" bestFit="1" customWidth="1"/>
    <col min="3" max="3" width="11.88671875" style="1" bestFit="1" customWidth="1"/>
    <col min="4" max="4" width="20.44140625" style="1" bestFit="1" customWidth="1"/>
    <col min="5" max="5" width="3.21875" style="1" customWidth="1"/>
    <col min="6" max="6" width="16.33203125" style="3" bestFit="1" customWidth="1"/>
    <col min="7" max="7" width="15.6640625" style="2" bestFit="1" customWidth="1"/>
    <col min="8" max="8" width="14.33203125" style="6" customWidth="1"/>
    <col min="9" max="9" width="8.88671875" style="3" bestFit="1" customWidth="1"/>
    <col min="10" max="10" width="7.88671875" style="3" bestFit="1" customWidth="1"/>
    <col min="11" max="11" width="15.77734375" style="1" bestFit="1" customWidth="1"/>
    <col min="12" max="12" width="11.88671875" style="1" bestFit="1" customWidth="1"/>
    <col min="13" max="13" width="17.88671875" style="1" bestFit="1" customWidth="1"/>
    <col min="14" max="16384" width="8.88671875" style="1"/>
  </cols>
  <sheetData>
    <row r="1" spans="2:13" x14ac:dyDescent="0.3">
      <c r="H1" s="5"/>
    </row>
    <row r="2" spans="2:13" x14ac:dyDescent="0.3">
      <c r="H2" s="5"/>
    </row>
    <row r="3" spans="2:13" ht="18" thickBot="1" x14ac:dyDescent="0.35">
      <c r="H3" s="5"/>
    </row>
    <row r="4" spans="2:13" ht="21" thickBot="1" x14ac:dyDescent="0.4">
      <c r="B4" s="30" t="s">
        <v>21</v>
      </c>
      <c r="C4" s="31"/>
      <c r="D4" s="32"/>
      <c r="F4" s="30" t="s">
        <v>14</v>
      </c>
      <c r="G4" s="31"/>
      <c r="H4" s="5"/>
      <c r="I4" s="49" t="s">
        <v>1</v>
      </c>
      <c r="J4" s="50" t="s">
        <v>7</v>
      </c>
      <c r="K4" s="49" t="s">
        <v>10</v>
      </c>
      <c r="L4" s="50" t="s">
        <v>8</v>
      </c>
      <c r="M4" s="37" t="s">
        <v>9</v>
      </c>
    </row>
    <row r="5" spans="2:13" x14ac:dyDescent="0.3">
      <c r="B5" s="9" t="s">
        <v>4</v>
      </c>
      <c r="C5" s="10"/>
      <c r="D5" s="11">
        <v>10000</v>
      </c>
      <c r="F5" s="25" t="s">
        <v>13</v>
      </c>
      <c r="G5" s="7">
        <v>0.125</v>
      </c>
      <c r="H5" s="1"/>
      <c r="I5" s="3" cm="1">
        <f t="array" ref="I5:I17">_xlfn.SEQUENCE(Tempo,1,0,1)</f>
        <v>0</v>
      </c>
      <c r="J5" s="2">
        <f>IF(Valor_Inicial="",0,Valor_Inicial*(1+Taxa_Juros)^I6)-Valor_Inicial</f>
        <v>98.635805532114318</v>
      </c>
      <c r="K5" s="6" t="e">
        <f>IF(OR(Aportes="",I5=""),"",Valor_Inicial+Aporte_Anual)</f>
        <v>#REF!</v>
      </c>
      <c r="L5" s="4">
        <f>J5</f>
        <v>98.635805532114318</v>
      </c>
      <c r="M5" s="4" t="e">
        <f>K5+L5</f>
        <v>#REF!</v>
      </c>
    </row>
    <row r="6" spans="2:13" ht="18" thickBot="1" x14ac:dyDescent="0.35">
      <c r="B6" s="12" t="s">
        <v>20</v>
      </c>
      <c r="C6" s="13"/>
      <c r="D6" s="14">
        <f>25%*D5</f>
        <v>2500</v>
      </c>
      <c r="F6" s="35" t="s">
        <v>12</v>
      </c>
      <c r="G6" s="36">
        <f>IF(OR(G5="",G5=0%),"",(1+G5)^(1/12)-1)</f>
        <v>9.8635805532114595E-3</v>
      </c>
      <c r="I6" s="3">
        <v>1</v>
      </c>
      <c r="J6" s="2" t="e">
        <f>IF(OR(Aportes="",$I$5=""),"",M5*(1+IF(Periodicidade="Ano",Taxa_Juros,Taxa_Mensal))^$I$5)-M5</f>
        <v>#REF!</v>
      </c>
      <c r="K6" s="6" t="e">
        <f>IF(K5="","",K5+Aporte_Anual)</f>
        <v>#REF!</v>
      </c>
      <c r="L6" s="4" t="e">
        <f>J6</f>
        <v>#REF!</v>
      </c>
      <c r="M6" s="4" t="e">
        <f t="shared" ref="M6:M17" si="0">K6+L6</f>
        <v>#REF!</v>
      </c>
    </row>
    <row r="7" spans="2:13" x14ac:dyDescent="0.3">
      <c r="B7" s="21" t="s">
        <v>23</v>
      </c>
      <c r="C7" s="38"/>
      <c r="D7" s="39">
        <f>Valor_Total_Final*Rendimentos</f>
        <v>7028.8656659896315</v>
      </c>
      <c r="F7" s="25" t="s">
        <v>12</v>
      </c>
      <c r="G7" s="7">
        <v>9.4999999999999998E-3</v>
      </c>
      <c r="I7" s="3">
        <v>2</v>
      </c>
      <c r="J7" s="2"/>
      <c r="K7" s="6"/>
      <c r="L7" s="4"/>
      <c r="M7" s="4"/>
    </row>
    <row r="8" spans="2:13" ht="18" thickBot="1" x14ac:dyDescent="0.35">
      <c r="B8" s="15" t="s">
        <v>5</v>
      </c>
      <c r="C8" s="16"/>
      <c r="D8" s="17">
        <v>8.9999999999999993E-3</v>
      </c>
      <c r="F8" s="26" t="s">
        <v>13</v>
      </c>
      <c r="G8" s="8">
        <f>(1+G7)^12-1</f>
        <v>0.12014921627417685</v>
      </c>
      <c r="I8" s="3">
        <v>3</v>
      </c>
      <c r="J8" s="2"/>
      <c r="K8" s="6"/>
      <c r="L8" s="4"/>
      <c r="M8" s="4"/>
    </row>
    <row r="9" spans="2:13" ht="18" thickBot="1" x14ac:dyDescent="0.35">
      <c r="B9" s="33"/>
      <c r="C9" s="33"/>
      <c r="D9" s="34"/>
      <c r="I9" s="3">
        <v>4</v>
      </c>
      <c r="J9" s="2" t="e">
        <f>IF(OR(Aportes="",$I$5=""),"",M6*(1+IF(Periodicidade="Ano",Taxa_Juros,Taxa_Mensal))^$I$5)-M6</f>
        <v>#REF!</v>
      </c>
      <c r="K9" s="6" t="e">
        <f>IF(K6="","",K6+Aporte_Anual)</f>
        <v>#REF!</v>
      </c>
      <c r="L9" s="4" t="e">
        <f t="shared" ref="L9:L17" si="1">J9</f>
        <v>#REF!</v>
      </c>
      <c r="M9" s="4" t="e">
        <f t="shared" si="0"/>
        <v>#REF!</v>
      </c>
    </row>
    <row r="10" spans="2:13" ht="21" thickBot="1" x14ac:dyDescent="0.4">
      <c r="B10" s="30" t="s">
        <v>22</v>
      </c>
      <c r="C10" s="31"/>
      <c r="D10" s="32"/>
      <c r="F10" s="30" t="s">
        <v>17</v>
      </c>
      <c r="G10" s="31"/>
      <c r="I10" s="3">
        <v>5</v>
      </c>
      <c r="J10" s="2" t="e">
        <f>IF(OR(Aportes="",$I$5=""),"",M9*(1+IF(Periodicidade="Ano",Taxa_Juros,Taxa_Mensal))^$I$5)-M9</f>
        <v>#REF!</v>
      </c>
      <c r="K10" s="6" t="e">
        <f>IF(K9="","",K9+Aporte_Anual)</f>
        <v>#REF!</v>
      </c>
      <c r="L10" s="4" t="e">
        <f t="shared" si="1"/>
        <v>#REF!</v>
      </c>
      <c r="M10" s="4" t="e">
        <f t="shared" si="0"/>
        <v>#REF!</v>
      </c>
    </row>
    <row r="11" spans="2:13" x14ac:dyDescent="0.3">
      <c r="B11" s="18" t="s">
        <v>0</v>
      </c>
      <c r="C11" s="19"/>
      <c r="D11" s="20">
        <v>10000</v>
      </c>
      <c r="F11" s="25" t="s">
        <v>18</v>
      </c>
      <c r="G11" s="28">
        <v>5</v>
      </c>
      <c r="H11" s="1"/>
      <c r="I11" s="3">
        <v>6</v>
      </c>
      <c r="J11" s="2" t="e">
        <f>IF(OR(Aportes="",$I$5=""),"",#REF!*(1+IF(Periodicidade="Ano",Taxa_Juros,Taxa_Mensal))^$I$5)-#REF!</f>
        <v>#REF!</v>
      </c>
      <c r="K11" s="6" t="e">
        <f>IF(#REF!="","",#REF!+Aporte_Anual)</f>
        <v>#REF!</v>
      </c>
      <c r="L11" s="4" t="e">
        <f t="shared" si="1"/>
        <v>#REF!</v>
      </c>
      <c r="M11" s="4" t="e">
        <f t="shared" si="0"/>
        <v>#REF!</v>
      </c>
    </row>
    <row r="12" spans="2:13" ht="18" thickBot="1" x14ac:dyDescent="0.35">
      <c r="B12" s="21" t="s">
        <v>11</v>
      </c>
      <c r="C12" s="22"/>
      <c r="D12" s="23">
        <v>2000</v>
      </c>
      <c r="F12" s="26" t="s">
        <v>19</v>
      </c>
      <c r="G12" s="29">
        <f>G11*12</f>
        <v>60</v>
      </c>
      <c r="H12" s="1"/>
      <c r="I12" s="3">
        <v>7</v>
      </c>
      <c r="J12" s="2" t="e">
        <f>IF(OR(Aportes="",$I$5=""),"",#REF!*(1+IF(Periodicidade="Ano",Taxa_Juros,Taxa_Mensal))^$I$5)-#REF!</f>
        <v>#REF!</v>
      </c>
      <c r="K12" s="6" t="e">
        <f>IF(#REF!="","",#REF!+Aporte_Anual)</f>
        <v>#REF!</v>
      </c>
      <c r="L12" s="4" t="e">
        <f t="shared" si="1"/>
        <v>#REF!</v>
      </c>
      <c r="M12" s="4" t="e">
        <f t="shared" si="0"/>
        <v>#REF!</v>
      </c>
    </row>
    <row r="13" spans="2:13" x14ac:dyDescent="0.3">
      <c r="B13" s="21" t="s">
        <v>15</v>
      </c>
      <c r="C13" s="22"/>
      <c r="D13" s="24">
        <f>IF(G6="",G7,G6)</f>
        <v>9.8635805532114595E-3</v>
      </c>
      <c r="F13" s="25" t="s">
        <v>19</v>
      </c>
      <c r="G13" s="28">
        <v>16</v>
      </c>
      <c r="H13" s="1"/>
      <c r="I13" s="3">
        <v>8</v>
      </c>
      <c r="J13" s="2" t="e">
        <f>IF(OR(Aportes="",$I$5=""),"",M12*(1+IF(Periodicidade="Ano",Taxa_Juros,Taxa_Mensal))^$I$5)-M12</f>
        <v>#REF!</v>
      </c>
      <c r="K13" s="6" t="e">
        <f>IF(K12="","",K12+Aporte_Anual)</f>
        <v>#REF!</v>
      </c>
      <c r="L13" s="4" t="e">
        <f t="shared" si="1"/>
        <v>#REF!</v>
      </c>
      <c r="M13" s="4" t="e">
        <f t="shared" si="0"/>
        <v>#REF!</v>
      </c>
    </row>
    <row r="14" spans="2:13" ht="18" thickBot="1" x14ac:dyDescent="0.35">
      <c r="B14" s="15" t="s">
        <v>16</v>
      </c>
      <c r="C14" s="16"/>
      <c r="D14" s="40">
        <v>13</v>
      </c>
      <c r="F14" s="26" t="s">
        <v>18</v>
      </c>
      <c r="G14" s="27">
        <f>G13/12</f>
        <v>1.3333333333333333</v>
      </c>
      <c r="H14" s="1"/>
      <c r="I14" s="3">
        <v>9</v>
      </c>
      <c r="J14" s="2" t="e">
        <f>IF(OR(Aportes="",$I$5=""),"",#REF!*(1+IF(Periodicidade="Ano",Taxa_Juros,Taxa_Mensal))^$I$5)-#REF!</f>
        <v>#REF!</v>
      </c>
      <c r="K14" s="6" t="e">
        <f>IF(#REF!="","",#REF!+Aporte_Anual)</f>
        <v>#REF!</v>
      </c>
      <c r="L14" s="4" t="e">
        <f t="shared" si="1"/>
        <v>#REF!</v>
      </c>
      <c r="M14" s="4" t="e">
        <f t="shared" si="0"/>
        <v>#REF!</v>
      </c>
    </row>
    <row r="15" spans="2:13" ht="18" thickBot="1" x14ac:dyDescent="0.35">
      <c r="H15" s="1"/>
      <c r="I15" s="3">
        <v>10</v>
      </c>
      <c r="J15" s="2"/>
      <c r="K15" s="6"/>
      <c r="L15" s="4"/>
      <c r="M15" s="4"/>
    </row>
    <row r="16" spans="2:13" ht="21" thickBot="1" x14ac:dyDescent="0.4">
      <c r="B16" s="30" t="s">
        <v>24</v>
      </c>
      <c r="C16" s="31"/>
      <c r="D16" s="32"/>
      <c r="F16" s="30" t="s">
        <v>25</v>
      </c>
      <c r="G16" s="31"/>
      <c r="H16" s="3"/>
      <c r="I16" s="3">
        <v>11</v>
      </c>
      <c r="J16" s="2" t="e">
        <f>IF(OR(Aportes="",$I$5=""),"",M14*(1+IF(Periodicidade="Ano",Taxa_Juros,Taxa_Mensal))^$I$5)-M14</f>
        <v>#REF!</v>
      </c>
      <c r="K16" s="6" t="e">
        <f>IF(K14="","",K14+Aporte_Anual)</f>
        <v>#REF!</v>
      </c>
      <c r="L16" s="4" t="e">
        <f t="shared" si="1"/>
        <v>#REF!</v>
      </c>
      <c r="M16" s="4" t="e">
        <f t="shared" si="0"/>
        <v>#REF!</v>
      </c>
    </row>
    <row r="17" spans="2:13" x14ac:dyDescent="0.3">
      <c r="B17" s="21" t="s">
        <v>6</v>
      </c>
      <c r="C17" s="22"/>
      <c r="D17" s="23">
        <f>FV(Taxa_Juros,Tempo*12,Aportes,Valor_Inicial,0)*-1</f>
        <v>780985.07399884798</v>
      </c>
      <c r="F17" s="43">
        <f>Total_Juros/valor_Investido</f>
        <v>1.4405783562463998</v>
      </c>
      <c r="G17" s="44"/>
      <c r="H17" s="3"/>
      <c r="I17" s="3">
        <v>12</v>
      </c>
      <c r="J17" s="2" t="e">
        <f>IF(OR(Aportes="",$I$5=""),"",M16*(1+IF(Periodicidade="Ano",Taxa_Juros,Taxa_Mensal))^$I$5)-M16</f>
        <v>#REF!</v>
      </c>
      <c r="K17" s="6" t="e">
        <f>IF(K16="","",K16+Aporte_Anual)</f>
        <v>#REF!</v>
      </c>
      <c r="L17" s="4" t="e">
        <f t="shared" si="1"/>
        <v>#REF!</v>
      </c>
      <c r="M17" s="4" t="e">
        <f t="shared" si="0"/>
        <v>#REF!</v>
      </c>
    </row>
    <row r="18" spans="2:13" x14ac:dyDescent="0.3">
      <c r="B18" s="21" t="s">
        <v>2</v>
      </c>
      <c r="C18" s="22"/>
      <c r="D18" s="41">
        <f>Aportes*((Tempo*12)-1)+Valor_Inicial</f>
        <v>320000</v>
      </c>
      <c r="F18" s="45"/>
      <c r="G18" s="46"/>
      <c r="H18" s="3"/>
      <c r="I18" s="1"/>
      <c r="J18" s="1"/>
    </row>
    <row r="19" spans="2:13" ht="18" thickBot="1" x14ac:dyDescent="0.35">
      <c r="B19" s="15" t="s">
        <v>3</v>
      </c>
      <c r="C19" s="16"/>
      <c r="D19" s="42">
        <f>D17-D18</f>
        <v>460985.07399884798</v>
      </c>
      <c r="F19" s="47"/>
      <c r="G19" s="48"/>
      <c r="H19" s="3"/>
      <c r="I19" s="4"/>
    </row>
    <row r="20" spans="2:13" ht="18" thickBot="1" x14ac:dyDescent="0.35">
      <c r="G20" s="3"/>
      <c r="H20" s="3"/>
    </row>
    <row r="21" spans="2:13" ht="21" thickBot="1" x14ac:dyDescent="0.4">
      <c r="B21" s="30" t="s">
        <v>26</v>
      </c>
      <c r="C21" s="31"/>
      <c r="D21" s="31"/>
      <c r="E21" s="31"/>
      <c r="F21" s="31"/>
      <c r="G21" s="32"/>
      <c r="H21" s="3"/>
    </row>
    <row r="22" spans="2:13" x14ac:dyDescent="0.3">
      <c r="B22" s="55" t="s">
        <v>27</v>
      </c>
      <c r="C22" s="56"/>
      <c r="D22" s="56" t="s">
        <v>28</v>
      </c>
      <c r="E22" s="56"/>
      <c r="F22" s="56" t="s">
        <v>29</v>
      </c>
      <c r="G22" s="57"/>
      <c r="H22" s="3"/>
    </row>
    <row r="23" spans="2:13" x14ac:dyDescent="0.3">
      <c r="B23" s="51" t="s">
        <v>30</v>
      </c>
      <c r="C23" s="52"/>
      <c r="D23" s="58">
        <f>FV(Taxa_Juros,1*12,Aportes,Valor_Inicial,0)*-1</f>
        <v>36595.765531219775</v>
      </c>
      <c r="E23" s="58">
        <f>FV(Taxa_Juros,Tempo*12,Aportes,Valor_Inicial,0)*-1</f>
        <v>780985.07399884798</v>
      </c>
      <c r="F23" s="60">
        <f>D23*Rendimentos</f>
        <v>329.36188978097795</v>
      </c>
      <c r="G23" s="61"/>
      <c r="H23" s="3"/>
    </row>
    <row r="24" spans="2:13" x14ac:dyDescent="0.3">
      <c r="B24" s="51" t="s">
        <v>31</v>
      </c>
      <c r="C24" s="52"/>
      <c r="D24" s="58">
        <f>FV(Taxa_Juros,2*12,Aportes,Valor_Inicial,0)*-1</f>
        <v>66516.001753841978</v>
      </c>
      <c r="E24" s="58">
        <f>FV(Taxa_Juros,Tempo*12,Aportes,Valor_Inicial,0)*-1</f>
        <v>780985.07399884798</v>
      </c>
      <c r="F24" s="60">
        <f>D24*Rendimentos</f>
        <v>598.64401578457773</v>
      </c>
      <c r="G24" s="61"/>
    </row>
    <row r="25" spans="2:13" x14ac:dyDescent="0.3">
      <c r="B25" s="51" t="s">
        <v>32</v>
      </c>
      <c r="C25" s="52"/>
      <c r="D25" s="58">
        <f>FV(Taxa_Juros,5*12,Aportes,Valor_Inicial,0)*-1</f>
        <v>180645.34031396106</v>
      </c>
      <c r="E25" s="58">
        <f>FV(Taxa_Juros,Tempo*12,Aportes,Valor_Inicial,0)*-1</f>
        <v>780985.07399884798</v>
      </c>
      <c r="F25" s="60">
        <f>D25*Rendimentos</f>
        <v>1625.8080628256494</v>
      </c>
      <c r="G25" s="61"/>
    </row>
    <row r="26" spans="2:13" x14ac:dyDescent="0.3">
      <c r="B26" s="51" t="s">
        <v>33</v>
      </c>
      <c r="C26" s="52"/>
      <c r="D26" s="58">
        <f>FV(Taxa_Juros,10*12,Aportes,Valor_Inicial,0)*-1</f>
        <v>488153.78453390155</v>
      </c>
      <c r="E26" s="58">
        <f>FV(Taxa_Juros,Tempo*12,Aportes,Valor_Inicial,0)*-1</f>
        <v>780985.07399884798</v>
      </c>
      <c r="F26" s="60">
        <f>D26*Rendimentos</f>
        <v>4393.3840608051132</v>
      </c>
      <c r="G26" s="61"/>
    </row>
    <row r="27" spans="2:13" x14ac:dyDescent="0.3">
      <c r="B27" s="51" t="s">
        <v>34</v>
      </c>
      <c r="C27" s="52"/>
      <c r="D27" s="58">
        <f>FV(Taxa_Juros,20*12,Aportes,Valor_Inicial,0)*-1</f>
        <v>2040872.6224581085</v>
      </c>
      <c r="E27" s="58">
        <f>FV(Taxa_Juros,Tempo*12,Aportes,Valor_Inicial,0)*-1</f>
        <v>780985.07399884798</v>
      </c>
      <c r="F27" s="60">
        <f>D27*Rendimentos</f>
        <v>18367.853602122974</v>
      </c>
      <c r="G27" s="61"/>
    </row>
    <row r="28" spans="2:13" ht="18" thickBot="1" x14ac:dyDescent="0.35">
      <c r="B28" s="53" t="s">
        <v>35</v>
      </c>
      <c r="C28" s="54"/>
      <c r="D28" s="59">
        <f>FV(Taxa_Juros,30*12,Aportes,Valor_Inicial,0)*-1</f>
        <v>7083049.1514901854</v>
      </c>
      <c r="E28" s="59">
        <f>FV(Taxa_Juros,Tempo*12,Aportes,Valor_Inicial,0)*-1</f>
        <v>780985.07399884798</v>
      </c>
      <c r="F28" s="62">
        <f>D28*Rendimentos</f>
        <v>63747.442363411661</v>
      </c>
      <c r="G28" s="63"/>
    </row>
  </sheetData>
  <mergeCells count="40">
    <mergeCell ref="F28:G28"/>
    <mergeCell ref="D28:E28"/>
    <mergeCell ref="B26:C26"/>
    <mergeCell ref="D26:E26"/>
    <mergeCell ref="F26:G26"/>
    <mergeCell ref="B23:C23"/>
    <mergeCell ref="B24:C24"/>
    <mergeCell ref="B25:C25"/>
    <mergeCell ref="B27:C27"/>
    <mergeCell ref="B28:C28"/>
    <mergeCell ref="F22:G22"/>
    <mergeCell ref="F23:G23"/>
    <mergeCell ref="F24:G24"/>
    <mergeCell ref="F25:G25"/>
    <mergeCell ref="F27:G27"/>
    <mergeCell ref="D22:E22"/>
    <mergeCell ref="D23:E23"/>
    <mergeCell ref="D24:E24"/>
    <mergeCell ref="D25:E25"/>
    <mergeCell ref="D27:E27"/>
    <mergeCell ref="B21:G21"/>
    <mergeCell ref="B22:C22"/>
    <mergeCell ref="F4:G4"/>
    <mergeCell ref="F10:G10"/>
    <mergeCell ref="B7:C7"/>
    <mergeCell ref="B16:D16"/>
    <mergeCell ref="F17:G19"/>
    <mergeCell ref="F16:G16"/>
    <mergeCell ref="B17:C17"/>
    <mergeCell ref="B18:C18"/>
    <mergeCell ref="B19:C19"/>
    <mergeCell ref="B4:D4"/>
    <mergeCell ref="B10:D10"/>
    <mergeCell ref="B8:C8"/>
    <mergeCell ref="B11:C11"/>
    <mergeCell ref="B14:C14"/>
    <mergeCell ref="B13:C13"/>
    <mergeCell ref="B12:C12"/>
    <mergeCell ref="B5:C5"/>
    <mergeCell ref="B6:C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8</vt:i4>
      </vt:variant>
    </vt:vector>
  </HeadingPairs>
  <TitlesOfParts>
    <vt:vector size="9" baseType="lpstr">
      <vt:lpstr>Planilha1</vt:lpstr>
      <vt:lpstr>Aportes</vt:lpstr>
      <vt:lpstr>Rendimentos</vt:lpstr>
      <vt:lpstr>Taxa_Juros</vt:lpstr>
      <vt:lpstr>Tempo</vt:lpstr>
      <vt:lpstr>Total_Juros</vt:lpstr>
      <vt:lpstr>Valor_Inicial</vt:lpstr>
      <vt:lpstr>valor_Investido</vt:lpstr>
      <vt:lpstr>Valor_Total_Final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Luiz</dc:creator>
  <cp:lastModifiedBy>Roberto Luiz</cp:lastModifiedBy>
  <dcterms:created xsi:type="dcterms:W3CDTF">2026-01-10T10:52:32Z</dcterms:created>
  <dcterms:modified xsi:type="dcterms:W3CDTF">2026-01-10T13:14:33Z</dcterms:modified>
</cp:coreProperties>
</file>